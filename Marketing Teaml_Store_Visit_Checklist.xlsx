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.Sirajmon AK\Downloads\"/>
    </mc:Choice>
  </mc:AlternateContent>
  <xr:revisionPtr revIDLastSave="0" documentId="13_ncr:1_{B81737E2-A036-4E18-82A4-9C85137183A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arketing Head" sheetId="1" r:id="rId1"/>
    <sheet name="Assistant Manager" sheetId="2" r:id="rId2"/>
    <sheet name="Marketing Coordinator" sheetId="3" r:id="rId3"/>
    <sheet name="Marketing Executive" sheetId="4" r:id="rId4"/>
  </sheets>
  <definedNames>
    <definedName name="_xlnm._FilterDatabase" localSheetId="1" hidden="1">'Assistant Manager'!$A$7:$J$22</definedName>
    <definedName name="_xlnm._FilterDatabase" localSheetId="2" hidden="1">'Marketing Coordinator'!$A$7:$J$22</definedName>
    <definedName name="_xlnm._FilterDatabase" localSheetId="3" hidden="1">'Marketing Executive'!$A$7:$J$30</definedName>
    <definedName name="_xlnm._FilterDatabase" localSheetId="0" hidden="1">'Marketing Head'!$A$7:$J$20</definedName>
  </definedNames>
  <calcPr calcId="191029"/>
</workbook>
</file>

<file path=xl/calcChain.xml><?xml version="1.0" encoding="utf-8"?>
<calcChain xmlns="http://schemas.openxmlformats.org/spreadsheetml/2006/main">
  <c r="H35" i="4" l="1"/>
  <c r="E35" i="4"/>
  <c r="B35" i="4"/>
  <c r="H34" i="4"/>
  <c r="E34" i="4"/>
  <c r="B34" i="4"/>
  <c r="H27" i="3"/>
  <c r="E27" i="3"/>
  <c r="B27" i="3"/>
  <c r="H26" i="3"/>
  <c r="E26" i="3"/>
  <c r="B26" i="3"/>
  <c r="H27" i="2"/>
  <c r="E27" i="2"/>
  <c r="B27" i="2"/>
  <c r="H26" i="2"/>
  <c r="E26" i="2"/>
  <c r="B26" i="2"/>
  <c r="H25" i="1"/>
  <c r="E25" i="1"/>
  <c r="B23" i="1"/>
  <c r="H24" i="1"/>
  <c r="E24" i="1"/>
  <c r="B22" i="1"/>
</calcChain>
</file>

<file path=xl/sharedStrings.xml><?xml version="1.0" encoding="utf-8"?>
<sst xmlns="http://schemas.openxmlformats.org/spreadsheetml/2006/main" count="232" uniqueCount="153">
  <si>
    <t>RAMACHANDRAN – RETAIL STORE VISIT CHECKLIST | MARKETING HEAD</t>
  </si>
  <si>
    <t>Marketing Department | Store Audit &amp; Execution Review</t>
  </si>
  <si>
    <t>Store Name</t>
  </si>
  <si>
    <t>Store Code</t>
  </si>
  <si>
    <t>Visit Date</t>
  </si>
  <si>
    <t>Visited By</t>
  </si>
  <si>
    <t>Store Manager</t>
  </si>
  <si>
    <t>Campaign / Period</t>
  </si>
  <si>
    <t>Sl. No.</t>
  </si>
  <si>
    <t>Area</t>
  </si>
  <si>
    <t>Checklist Point</t>
  </si>
  <si>
    <t>Status</t>
  </si>
  <si>
    <t>Score (1–5)</t>
  </si>
  <si>
    <t>Observation / Remarks</t>
  </si>
  <si>
    <t>Action Required</t>
  </si>
  <si>
    <t>Responsible</t>
  </si>
  <si>
    <t>Deadline</t>
  </si>
  <si>
    <t>Photo Ref.</t>
  </si>
  <si>
    <t>Strategic Review</t>
  </si>
  <si>
    <t>Overall store performance &amp; footfall review</t>
  </si>
  <si>
    <t>Performance</t>
  </si>
  <si>
    <t>Campaign</t>
  </si>
  <si>
    <t>Campaign performance and current offers</t>
  </si>
  <si>
    <t>Visibility</t>
  </si>
  <si>
    <t>Store visibility from main road</t>
  </si>
  <si>
    <t>Outdoor Branding</t>
  </si>
  <si>
    <t>Hoardings / outdoor branding condition</t>
  </si>
  <si>
    <t>In-store Branding</t>
  </si>
  <si>
    <t>In-store branding and campaign communication</t>
  </si>
  <si>
    <t>Category Visibility</t>
  </si>
  <si>
    <t>Fashion / Home / Supermarket / Beauty / Food Court</t>
  </si>
  <si>
    <t>Customer Experience</t>
  </si>
  <si>
    <t>Customer experience &amp; ambience</t>
  </si>
  <si>
    <t>Competition</t>
  </si>
  <si>
    <t>Local Marketing</t>
  </si>
  <si>
    <t>Local marketing opportunities</t>
  </si>
  <si>
    <t>Digital</t>
  </si>
  <si>
    <t>Digital / Google Business presence and reviews</t>
  </si>
  <si>
    <t>Planning</t>
  </si>
  <si>
    <t>Upcoming festival / campaign requirements</t>
  </si>
  <si>
    <t>Store Feedback</t>
  </si>
  <si>
    <t>Store team's marketing feedback</t>
  </si>
  <si>
    <t>Escalation</t>
  </si>
  <si>
    <t>Major gaps requiring management action</t>
  </si>
  <si>
    <t>Action Plan</t>
  </si>
  <si>
    <t>Final action points with responsible person &amp; deadline</t>
  </si>
  <si>
    <t>VISIT SUMMARY</t>
  </si>
  <si>
    <t>Total Checklist Items</t>
  </si>
  <si>
    <t>Completed / Checked</t>
  </si>
  <si>
    <t>Average Score</t>
  </si>
  <si>
    <t>Issues</t>
  </si>
  <si>
    <t>Partial</t>
  </si>
  <si>
    <t>Pending Actions</t>
  </si>
  <si>
    <t>RAMACHANDRAN – RETAIL STORE VISIT CHECKLIST | ASSISTANT MANAGER</t>
  </si>
  <si>
    <t>Campaign Execution</t>
  </si>
  <si>
    <t>Execution of approved marketing plan</t>
  </si>
  <si>
    <t>Materials</t>
  </si>
  <si>
    <t>All campaign materials installed</t>
  </si>
  <si>
    <t>Offer Communication</t>
  </si>
  <si>
    <t>Offer communication at customer touchpoints</t>
  </si>
  <si>
    <t>Category-wise promotional visibility</t>
  </si>
  <si>
    <t>Footfall and campaign response</t>
  </si>
  <si>
    <t>Outdoor branding condition</t>
  </si>
  <si>
    <t>In-store branding condition</t>
  </si>
  <si>
    <t>POSM</t>
  </si>
  <si>
    <t>POSM availability</t>
  </si>
  <si>
    <t>Quantity</t>
  </si>
  <si>
    <t>Promotional materials: received vs required</t>
  </si>
  <si>
    <t>Competitor promotions</t>
  </si>
  <si>
    <t>Store Requirements</t>
  </si>
  <si>
    <t>Store team's requirements</t>
  </si>
  <si>
    <t>Pending Activities</t>
  </si>
  <si>
    <t>Pending marketing activities</t>
  </si>
  <si>
    <t>Coordination</t>
  </si>
  <si>
    <t>Corrections with relevant departments</t>
  </si>
  <si>
    <t>Evidence</t>
  </si>
  <si>
    <t>Photographic evidence</t>
  </si>
  <si>
    <t>Reporting</t>
  </si>
  <si>
    <t>Visit report and escalation points</t>
  </si>
  <si>
    <t>RAMACHANDRAN – RETAIL STORE VISIT CHECKLIST | MARKETING COORDINATOR</t>
  </si>
  <si>
    <t>Visit Planning</t>
  </si>
  <si>
    <t>Confirm visit schedule with store</t>
  </si>
  <si>
    <t>Checklist</t>
  </si>
  <si>
    <t>Carry latest campaign checklist</t>
  </si>
  <si>
    <t>Artwork</t>
  </si>
  <si>
    <t>Verify approved artwork / materials</t>
  </si>
  <si>
    <t>Delivery</t>
  </si>
  <si>
    <t>Check delivery of marketing materials</t>
  </si>
  <si>
    <t>Quantity received vs required</t>
  </si>
  <si>
    <t>Execution</t>
  </si>
  <si>
    <t>Installation / execution status</t>
  </si>
  <si>
    <t>Vendor</t>
  </si>
  <si>
    <t>Vendor execution quality</t>
  </si>
  <si>
    <t>Photos</t>
  </si>
  <si>
    <t>Photograph all branding locations</t>
  </si>
  <si>
    <t>Damage / Missing</t>
  </si>
  <si>
    <t>Record damaged / missing materials</t>
  </si>
  <si>
    <t>Dates</t>
  </si>
  <si>
    <t>Campaign start / end dates</t>
  </si>
  <si>
    <t>Requirements</t>
  </si>
  <si>
    <t>Collect store requirements</t>
  </si>
  <si>
    <t>Purchase</t>
  </si>
  <si>
    <t>Vendor / purchase-related pending items</t>
  </si>
  <si>
    <t>Tracker</t>
  </si>
  <si>
    <t>Update campaign tracker</t>
  </si>
  <si>
    <t>Issue Tracker</t>
  </si>
  <si>
    <t>Update store-wise issue tracker</t>
  </si>
  <si>
    <t>Follow-up</t>
  </si>
  <si>
    <t>Share report and follow up until closure</t>
  </si>
  <si>
    <t>RAMACHANDRAN – RETAIL STORE VISIT CHECKLIST | MARKETING EXECUTIVE</t>
  </si>
  <si>
    <t>Store Frontage</t>
  </si>
  <si>
    <t>Store frontage photo</t>
  </si>
  <si>
    <t>Entrance</t>
  </si>
  <si>
    <t>Main entrance branding</t>
  </si>
  <si>
    <t>Road Visibility</t>
  </si>
  <si>
    <t>Road-facing visibility</t>
  </si>
  <si>
    <t>Outdoor</t>
  </si>
  <si>
    <t>Hoarding / arch / lamp-post branding</t>
  </si>
  <si>
    <t>Windows</t>
  </si>
  <si>
    <t>Window branding</t>
  </si>
  <si>
    <t>Standee</t>
  </si>
  <si>
    <t>Standee placement</t>
  </si>
  <si>
    <t>Danglers</t>
  </si>
  <si>
    <t>Danglers / drop-downs</t>
  </si>
  <si>
    <t>Category Signage</t>
  </si>
  <si>
    <t>Category signage</t>
  </si>
  <si>
    <t>Offers</t>
  </si>
  <si>
    <t>Offer communication</t>
  </si>
  <si>
    <t>Price Boards</t>
  </si>
  <si>
    <t>Price / offer boards</t>
  </si>
  <si>
    <t>POS</t>
  </si>
  <si>
    <t>Counter / POS communication</t>
  </si>
  <si>
    <t>Food Court</t>
  </si>
  <si>
    <t>Food Court branding</t>
  </si>
  <si>
    <t>Supermarket</t>
  </si>
  <si>
    <t>Supermarket promotional branding</t>
  </si>
  <si>
    <t>Fashion</t>
  </si>
  <si>
    <t>Fashion section branding</t>
  </si>
  <si>
    <t>Beauty Studio</t>
  </si>
  <si>
    <t>Beauty Studio branding, where applicable</t>
  </si>
  <si>
    <t>Digital Screens</t>
  </si>
  <si>
    <t>LED / TV screen content</t>
  </si>
  <si>
    <t>PA</t>
  </si>
  <si>
    <t>PA / in-store announcement status</t>
  </si>
  <si>
    <t>Condition</t>
  </si>
  <si>
    <t>Campaign material condition</t>
  </si>
  <si>
    <t>Competitor branding nearby</t>
  </si>
  <si>
    <t>Feedback</t>
  </si>
  <si>
    <t>Customer / staff feedback</t>
  </si>
  <si>
    <t>Before / after photographs</t>
  </si>
  <si>
    <t>Report issues immediately</t>
  </si>
  <si>
    <t>Closure</t>
  </si>
  <si>
    <t>Confirm corrective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</si>
</sst>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showGridLines="0" workbookViewId="0">
      <pane ySplit="7" topLeftCell="A14" activePane="bottomLeft" state="frozen"/>
      <selection pane="bottomLeft" activeCell="B26" sqref="B26"/>
    </sheetView>
  </sheetViews>
  <sheetFormatPr defaultRowHeight="14.5" x14ac:dyDescent="0.35"/>
  <cols>
    <col min="1" max="1" width="8" customWidth="1"/>
    <col min="2" max="2" width="20" customWidth="1"/>
    <col min="3" max="3" width="42" customWidth="1"/>
    <col min="4" max="4" width="14" customWidth="1"/>
    <col min="5" max="5" width="13" customWidth="1"/>
    <col min="6" max="7" width="30" customWidth="1"/>
    <col min="8" max="8" width="20" customWidth="1"/>
    <col min="9" max="9" width="14" customWidth="1"/>
    <col min="10" max="10" width="16" customWidth="1"/>
  </cols>
  <sheetData>
    <row r="1" spans="1:10" ht="28" customHeight="1" x14ac:dyDescent="0.35">
      <c r="A1" s="10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11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5">
      <c r="A4" s="1" t="s">
        <v>2</v>
      </c>
      <c r="B4" s="9"/>
      <c r="C4" s="8"/>
      <c r="D4" s="1" t="s">
        <v>3</v>
      </c>
      <c r="E4" s="9"/>
      <c r="F4" s="8"/>
      <c r="G4" s="1" t="s">
        <v>4</v>
      </c>
      <c r="H4" s="9"/>
      <c r="I4" s="8"/>
      <c r="J4" s="8"/>
    </row>
    <row r="5" spans="1:10" x14ac:dyDescent="0.35">
      <c r="A5" s="1" t="s">
        <v>5</v>
      </c>
      <c r="B5" s="9"/>
      <c r="C5" s="8"/>
      <c r="D5" s="1" t="s">
        <v>6</v>
      </c>
      <c r="E5" s="9"/>
      <c r="F5" s="8"/>
      <c r="G5" s="1" t="s">
        <v>7</v>
      </c>
      <c r="H5" s="9"/>
      <c r="I5" s="8"/>
      <c r="J5" s="8"/>
    </row>
    <row r="7" spans="1:10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x14ac:dyDescent="0.35">
      <c r="A8" s="3">
        <v>1</v>
      </c>
      <c r="B8" s="3" t="s">
        <v>18</v>
      </c>
      <c r="C8" s="3" t="s">
        <v>19</v>
      </c>
      <c r="D8" s="3"/>
      <c r="E8" s="4"/>
      <c r="F8" s="3"/>
      <c r="G8" s="3"/>
      <c r="H8" s="3"/>
      <c r="I8" s="3"/>
      <c r="J8" s="3"/>
    </row>
    <row r="9" spans="1:10" x14ac:dyDescent="0.35">
      <c r="A9" s="3">
        <v>2</v>
      </c>
      <c r="B9" s="3" t="s">
        <v>21</v>
      </c>
      <c r="C9" s="3" t="s">
        <v>22</v>
      </c>
      <c r="D9" s="3"/>
      <c r="E9" s="4"/>
      <c r="F9" s="3"/>
      <c r="G9" s="3"/>
      <c r="H9" s="3"/>
      <c r="I9" s="3"/>
      <c r="J9" s="3"/>
    </row>
    <row r="10" spans="1:10" x14ac:dyDescent="0.35">
      <c r="A10" s="3">
        <v>3</v>
      </c>
      <c r="B10" s="3" t="s">
        <v>23</v>
      </c>
      <c r="C10" s="3" t="s">
        <v>24</v>
      </c>
      <c r="D10" s="3"/>
      <c r="E10" s="4"/>
      <c r="F10" s="3"/>
      <c r="G10" s="3"/>
      <c r="H10" s="3"/>
      <c r="I10" s="3"/>
      <c r="J10" s="3"/>
    </row>
    <row r="11" spans="1:10" x14ac:dyDescent="0.35">
      <c r="A11" s="3">
        <v>4</v>
      </c>
      <c r="B11" s="3" t="s">
        <v>25</v>
      </c>
      <c r="C11" s="3" t="s">
        <v>26</v>
      </c>
      <c r="D11" s="3"/>
      <c r="E11" s="4"/>
      <c r="F11" s="3"/>
      <c r="G11" s="3"/>
      <c r="H11" s="3"/>
      <c r="I11" s="3"/>
      <c r="J11" s="3"/>
    </row>
    <row r="12" spans="1:10" x14ac:dyDescent="0.35">
      <c r="A12" s="3">
        <v>5</v>
      </c>
      <c r="B12" s="3" t="s">
        <v>27</v>
      </c>
      <c r="C12" s="3" t="s">
        <v>28</v>
      </c>
      <c r="D12" s="3"/>
      <c r="E12" s="4"/>
      <c r="F12" s="3"/>
      <c r="G12" s="3"/>
      <c r="H12" s="3"/>
      <c r="I12" s="3"/>
      <c r="J12" s="3"/>
    </row>
    <row r="13" spans="1:10" ht="29" x14ac:dyDescent="0.35">
      <c r="A13" s="3">
        <v>6</v>
      </c>
      <c r="B13" s="3" t="s">
        <v>29</v>
      </c>
      <c r="C13" s="3" t="s">
        <v>30</v>
      </c>
      <c r="D13" s="3"/>
      <c r="E13" s="4"/>
      <c r="F13" s="3"/>
      <c r="G13" s="3"/>
      <c r="H13" s="3"/>
      <c r="I13" s="3"/>
      <c r="J13" s="3"/>
    </row>
    <row r="14" spans="1:10" x14ac:dyDescent="0.35">
      <c r="A14" s="3">
        <v>7</v>
      </c>
      <c r="B14" s="3" t="s">
        <v>31</v>
      </c>
      <c r="C14" s="3" t="s">
        <v>32</v>
      </c>
      <c r="D14" s="3"/>
      <c r="E14" s="4"/>
      <c r="F14" s="3"/>
      <c r="G14" s="3"/>
      <c r="H14" s="3"/>
      <c r="I14" s="3"/>
      <c r="J14" s="3"/>
    </row>
    <row r="15" spans="1:10" x14ac:dyDescent="0.35">
      <c r="A15" s="3">
        <v>8</v>
      </c>
      <c r="B15" s="3" t="s">
        <v>34</v>
      </c>
      <c r="C15" s="3" t="s">
        <v>35</v>
      </c>
      <c r="D15" s="3"/>
      <c r="E15" s="4"/>
      <c r="F15" s="3"/>
      <c r="G15" s="3"/>
      <c r="H15" s="3"/>
      <c r="I15" s="3"/>
      <c r="J15" s="3"/>
    </row>
    <row r="16" spans="1:10" x14ac:dyDescent="0.35">
      <c r="A16" s="3">
        <v>9</v>
      </c>
      <c r="B16" s="3" t="s">
        <v>36</v>
      </c>
      <c r="C16" s="3" t="s">
        <v>37</v>
      </c>
      <c r="D16" s="3"/>
      <c r="E16" s="4"/>
      <c r="F16" s="3"/>
      <c r="G16" s="3"/>
      <c r="H16" s="3"/>
      <c r="I16" s="3"/>
      <c r="J16" s="3"/>
    </row>
    <row r="17" spans="1:10" x14ac:dyDescent="0.35">
      <c r="A17" s="3">
        <v>10</v>
      </c>
      <c r="B17" s="3" t="s">
        <v>38</v>
      </c>
      <c r="C17" s="3" t="s">
        <v>39</v>
      </c>
      <c r="D17" s="3"/>
      <c r="E17" s="4"/>
      <c r="F17" s="3"/>
      <c r="G17" s="3"/>
      <c r="H17" s="3"/>
      <c r="I17" s="3"/>
      <c r="J17" s="3"/>
    </row>
    <row r="18" spans="1:10" x14ac:dyDescent="0.35">
      <c r="A18" s="3">
        <v>11</v>
      </c>
      <c r="B18" s="3" t="s">
        <v>40</v>
      </c>
      <c r="C18" s="3" t="s">
        <v>41</v>
      </c>
      <c r="D18" s="3"/>
      <c r="E18" s="4"/>
      <c r="F18" s="3"/>
      <c r="G18" s="3"/>
      <c r="H18" s="3"/>
      <c r="I18" s="3"/>
      <c r="J18" s="3"/>
    </row>
    <row r="19" spans="1:10" x14ac:dyDescent="0.35">
      <c r="A19" s="3">
        <v>12</v>
      </c>
      <c r="B19" s="3" t="s">
        <v>42</v>
      </c>
      <c r="C19" s="3" t="s">
        <v>43</v>
      </c>
      <c r="D19" s="3"/>
      <c r="E19" s="4"/>
      <c r="F19" s="3"/>
      <c r="G19" s="3"/>
      <c r="H19" s="3"/>
      <c r="I19" s="3"/>
      <c r="J19" s="3"/>
    </row>
    <row r="20" spans="1:10" ht="29" x14ac:dyDescent="0.35">
      <c r="A20" s="3">
        <v>13</v>
      </c>
      <c r="B20" s="3" t="s">
        <v>44</v>
      </c>
      <c r="C20" s="3" t="s">
        <v>45</v>
      </c>
      <c r="D20" s="3"/>
      <c r="E20" s="4"/>
      <c r="F20" s="3"/>
      <c r="G20" s="3"/>
      <c r="H20" s="3"/>
      <c r="I20" s="3"/>
      <c r="J20" s="3"/>
    </row>
    <row r="22" spans="1:10" x14ac:dyDescent="0.35">
      <c r="B22" s="5">
        <f>COUNTA(C8:C20)</f>
        <v>13</v>
      </c>
    </row>
    <row r="23" spans="1:10" x14ac:dyDescent="0.35">
      <c r="A23" s="6" t="s">
        <v>46</v>
      </c>
      <c r="B23" s="5">
        <f>COUNTIF(D8:D20,"Issue")</f>
        <v>0</v>
      </c>
    </row>
    <row r="24" spans="1:10" x14ac:dyDescent="0.35">
      <c r="A24" s="1" t="s">
        <v>47</v>
      </c>
      <c r="D24" s="1" t="s">
        <v>48</v>
      </c>
      <c r="E24" s="5">
        <f>COUNTIF(D8:D20,"&lt;&gt;")</f>
        <v>0</v>
      </c>
      <c r="G24" s="1" t="s">
        <v>49</v>
      </c>
      <c r="H24" s="5">
        <f>IFERROR(AVERAGE(E8:E20),0)</f>
        <v>0</v>
      </c>
    </row>
    <row r="25" spans="1:10" x14ac:dyDescent="0.35">
      <c r="A25" s="1" t="s">
        <v>50</v>
      </c>
      <c r="D25" s="1" t="s">
        <v>51</v>
      </c>
      <c r="E25" s="5">
        <f>COUNTIF(D8:D20,"Partial")</f>
        <v>0</v>
      </c>
      <c r="G25" s="1" t="s">
        <v>52</v>
      </c>
      <c r="H25" s="5">
        <f>COUNTIF(G8:G20,"&lt;&gt;")</f>
        <v>0</v>
      </c>
    </row>
  </sheetData>
  <autoFilter ref="A7:J20" xr:uid="{00000000-0009-0000-0000-000000000000}"/>
  <mergeCells count="8">
    <mergeCell ref="E4:F4"/>
    <mergeCell ref="A1:J1"/>
    <mergeCell ref="B5:C5"/>
    <mergeCell ref="H5:J5"/>
    <mergeCell ref="H4:J4"/>
    <mergeCell ref="E5:F5"/>
    <mergeCell ref="A2:J2"/>
    <mergeCell ref="B4:C4"/>
  </mergeCells>
  <conditionalFormatting sqref="E8:E20">
    <cfRule type="cellIs" dxfId="3" priority="1" operator="lessThan">
      <formula>3</formula>
    </cfRule>
  </conditionalFormatting>
  <dataValidations count="1">
    <dataValidation type="list" allowBlank="1" sqref="D8 D9 D10 D11 D12 D13 D14 D15 D16 D17 D18 D19 D20" xr:uid="{00000000-0002-0000-0000-000000000000}">
      <formula1>"OK,Partial,Issue,N/A"</formula1>
    </dataValidation>
  </dataValidations>
  <pageMargins left="0.25" right="0.25" top="0.4" bottom="0.4" header="0.2" footer="0.2"/>
  <pageSetup fitToHeight="0" orientation="landscape"/>
  <headerFooter>
    <oddFooter>&amp;CRamachandran Marketing Department | Store Visit Checklist&amp;RPage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7"/>
  <sheetViews>
    <sheetView showGridLines="0" workbookViewId="0">
      <pane ySplit="7" topLeftCell="A17" activePane="bottomLeft" state="frozen"/>
      <selection pane="bottomLeft" sqref="A1:J1"/>
    </sheetView>
  </sheetViews>
  <sheetFormatPr defaultRowHeight="14.5" x14ac:dyDescent="0.35"/>
  <cols>
    <col min="1" max="1" width="8" customWidth="1"/>
    <col min="2" max="2" width="20" customWidth="1"/>
    <col min="3" max="3" width="42" customWidth="1"/>
    <col min="4" max="4" width="14" customWidth="1"/>
    <col min="5" max="5" width="13" customWidth="1"/>
    <col min="6" max="7" width="30" customWidth="1"/>
    <col min="8" max="8" width="20" customWidth="1"/>
    <col min="9" max="9" width="14" customWidth="1"/>
    <col min="10" max="10" width="16" customWidth="1"/>
  </cols>
  <sheetData>
    <row r="1" spans="1:10" ht="28" customHeight="1" x14ac:dyDescent="0.35">
      <c r="A1" s="10" t="s">
        <v>53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11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5">
      <c r="A4" s="1" t="s">
        <v>2</v>
      </c>
      <c r="B4" s="9"/>
      <c r="C4" s="8"/>
      <c r="D4" s="1" t="s">
        <v>3</v>
      </c>
      <c r="E4" s="9"/>
      <c r="F4" s="8"/>
      <c r="G4" s="1" t="s">
        <v>4</v>
      </c>
      <c r="H4" s="9"/>
      <c r="I4" s="8"/>
      <c r="J4" s="8"/>
    </row>
    <row r="5" spans="1:10" x14ac:dyDescent="0.35">
      <c r="A5" s="1" t="s">
        <v>5</v>
      </c>
      <c r="B5" s="9"/>
      <c r="C5" s="8"/>
      <c r="D5" s="1" t="s">
        <v>6</v>
      </c>
      <c r="E5" s="9"/>
      <c r="F5" s="8"/>
      <c r="G5" s="1" t="s">
        <v>7</v>
      </c>
      <c r="H5" s="9"/>
      <c r="I5" s="8"/>
      <c r="J5" s="8"/>
    </row>
    <row r="7" spans="1:10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x14ac:dyDescent="0.35">
      <c r="A8" s="3">
        <v>1</v>
      </c>
      <c r="B8" s="3" t="s">
        <v>54</v>
      </c>
      <c r="C8" s="3" t="s">
        <v>55</v>
      </c>
      <c r="D8" s="3"/>
      <c r="E8" s="4"/>
      <c r="F8" s="3"/>
      <c r="G8" s="3"/>
      <c r="H8" s="3"/>
      <c r="I8" s="3"/>
      <c r="J8" s="3"/>
    </row>
    <row r="9" spans="1:10" x14ac:dyDescent="0.35">
      <c r="A9" s="3">
        <v>2</v>
      </c>
      <c r="B9" s="3" t="s">
        <v>56</v>
      </c>
      <c r="C9" s="3" t="s">
        <v>57</v>
      </c>
      <c r="D9" s="3"/>
      <c r="E9" s="4"/>
      <c r="F9" s="3"/>
      <c r="G9" s="3"/>
      <c r="H9" s="3"/>
      <c r="I9" s="3"/>
      <c r="J9" s="3"/>
    </row>
    <row r="10" spans="1:10" x14ac:dyDescent="0.35">
      <c r="A10" s="3">
        <v>3</v>
      </c>
      <c r="B10" s="3" t="s">
        <v>58</v>
      </c>
      <c r="C10" s="3" t="s">
        <v>59</v>
      </c>
      <c r="D10" s="3"/>
      <c r="E10" s="4"/>
      <c r="F10" s="3"/>
      <c r="G10" s="3"/>
      <c r="H10" s="3"/>
      <c r="I10" s="3"/>
      <c r="J10" s="3"/>
    </row>
    <row r="11" spans="1:10" x14ac:dyDescent="0.35">
      <c r="A11" s="3">
        <v>4</v>
      </c>
      <c r="B11" s="3" t="s">
        <v>29</v>
      </c>
      <c r="C11" s="3" t="s">
        <v>60</v>
      </c>
      <c r="D11" s="3"/>
      <c r="E11" s="4"/>
      <c r="F11" s="3"/>
      <c r="G11" s="3"/>
      <c r="H11" s="3"/>
      <c r="I11" s="3"/>
      <c r="J11" s="3"/>
    </row>
    <row r="12" spans="1:10" x14ac:dyDescent="0.35">
      <c r="A12" s="3">
        <v>5</v>
      </c>
      <c r="B12" s="3" t="s">
        <v>20</v>
      </c>
      <c r="C12" s="3" t="s">
        <v>61</v>
      </c>
      <c r="D12" s="3"/>
      <c r="E12" s="4"/>
      <c r="F12" s="3"/>
      <c r="G12" s="3"/>
      <c r="H12" s="3"/>
      <c r="I12" s="3"/>
      <c r="J12" s="3"/>
    </row>
    <row r="13" spans="1:10" x14ac:dyDescent="0.35">
      <c r="A13" s="3">
        <v>6</v>
      </c>
      <c r="B13" s="3" t="s">
        <v>25</v>
      </c>
      <c r="C13" s="3" t="s">
        <v>62</v>
      </c>
      <c r="D13" s="3"/>
      <c r="E13" s="4"/>
      <c r="F13" s="3"/>
      <c r="G13" s="3"/>
      <c r="H13" s="3"/>
      <c r="I13" s="3"/>
      <c r="J13" s="3"/>
    </row>
    <row r="14" spans="1:10" x14ac:dyDescent="0.35">
      <c r="A14" s="3">
        <v>7</v>
      </c>
      <c r="B14" s="3" t="s">
        <v>27</v>
      </c>
      <c r="C14" s="3" t="s">
        <v>63</v>
      </c>
      <c r="D14" s="3"/>
      <c r="E14" s="4"/>
      <c r="F14" s="3"/>
      <c r="G14" s="3"/>
      <c r="H14" s="3"/>
      <c r="I14" s="3"/>
      <c r="J14" s="3"/>
    </row>
    <row r="15" spans="1:10" x14ac:dyDescent="0.35">
      <c r="A15" s="3">
        <v>8</v>
      </c>
      <c r="B15" s="3" t="s">
        <v>64</v>
      </c>
      <c r="C15" s="3" t="s">
        <v>65</v>
      </c>
      <c r="D15" s="3"/>
      <c r="E15" s="4"/>
      <c r="F15" s="3"/>
      <c r="G15" s="3"/>
      <c r="H15" s="3"/>
      <c r="I15" s="3"/>
      <c r="J15" s="3"/>
    </row>
    <row r="16" spans="1:10" x14ac:dyDescent="0.35">
      <c r="A16" s="3">
        <v>9</v>
      </c>
      <c r="B16" s="3" t="s">
        <v>66</v>
      </c>
      <c r="C16" s="3" t="s">
        <v>67</v>
      </c>
      <c r="D16" s="3"/>
      <c r="E16" s="4"/>
      <c r="F16" s="3"/>
      <c r="G16" s="3"/>
      <c r="H16" s="3"/>
      <c r="I16" s="3"/>
      <c r="J16" s="3"/>
    </row>
    <row r="17" spans="1:10" x14ac:dyDescent="0.35">
      <c r="A17" s="3">
        <v>10</v>
      </c>
      <c r="B17" s="3" t="s">
        <v>33</v>
      </c>
      <c r="C17" s="3" t="s">
        <v>68</v>
      </c>
      <c r="D17" s="3"/>
      <c r="E17" s="4"/>
      <c r="F17" s="3"/>
      <c r="G17" s="3"/>
      <c r="H17" s="3"/>
      <c r="I17" s="3"/>
      <c r="J17" s="3"/>
    </row>
    <row r="18" spans="1:10" x14ac:dyDescent="0.35">
      <c r="A18" s="3">
        <v>11</v>
      </c>
      <c r="B18" s="3" t="s">
        <v>69</v>
      </c>
      <c r="C18" s="3" t="s">
        <v>70</v>
      </c>
      <c r="D18" s="3"/>
      <c r="E18" s="4"/>
      <c r="F18" s="3"/>
      <c r="G18" s="3"/>
      <c r="H18" s="3"/>
      <c r="I18" s="3"/>
      <c r="J18" s="3"/>
    </row>
    <row r="19" spans="1:10" x14ac:dyDescent="0.35">
      <c r="A19" s="3">
        <v>12</v>
      </c>
      <c r="B19" s="3" t="s">
        <v>71</v>
      </c>
      <c r="C19" s="3" t="s">
        <v>72</v>
      </c>
      <c r="D19" s="3"/>
      <c r="E19" s="4"/>
      <c r="F19" s="3"/>
      <c r="G19" s="3"/>
      <c r="H19" s="3"/>
      <c r="I19" s="3"/>
      <c r="J19" s="3"/>
    </row>
    <row r="20" spans="1:10" x14ac:dyDescent="0.35">
      <c r="A20" s="3">
        <v>13</v>
      </c>
      <c r="B20" s="3" t="s">
        <v>73</v>
      </c>
      <c r="C20" s="3" t="s">
        <v>74</v>
      </c>
      <c r="D20" s="3"/>
      <c r="E20" s="4"/>
      <c r="F20" s="3"/>
      <c r="G20" s="3"/>
      <c r="H20" s="3"/>
      <c r="I20" s="3"/>
      <c r="J20" s="3"/>
    </row>
    <row r="21" spans="1:10" x14ac:dyDescent="0.35">
      <c r="A21" s="3">
        <v>14</v>
      </c>
      <c r="B21" s="3" t="s">
        <v>75</v>
      </c>
      <c r="C21" s="3" t="s">
        <v>76</v>
      </c>
      <c r="D21" s="3"/>
      <c r="E21" s="4"/>
      <c r="F21" s="3"/>
      <c r="G21" s="3"/>
      <c r="H21" s="3"/>
      <c r="I21" s="3"/>
      <c r="J21" s="3"/>
    </row>
    <row r="22" spans="1:10" x14ac:dyDescent="0.35">
      <c r="A22" s="3">
        <v>15</v>
      </c>
      <c r="B22" s="3" t="s">
        <v>77</v>
      </c>
      <c r="C22" s="3" t="s">
        <v>78</v>
      </c>
      <c r="D22" s="3"/>
      <c r="E22" s="4"/>
      <c r="F22" s="3"/>
      <c r="G22" s="3"/>
      <c r="H22" s="3"/>
      <c r="I22" s="3"/>
      <c r="J22" s="3"/>
    </row>
    <row r="25" spans="1:10" x14ac:dyDescent="0.35">
      <c r="A25" s="7" t="s">
        <v>46</v>
      </c>
      <c r="B25" s="8"/>
      <c r="C25" s="8"/>
    </row>
    <row r="26" spans="1:10" x14ac:dyDescent="0.35">
      <c r="A26" s="1" t="s">
        <v>47</v>
      </c>
      <c r="B26" s="5">
        <f>COUNTA(C8:C22)</f>
        <v>15</v>
      </c>
      <c r="D26" s="1" t="s">
        <v>48</v>
      </c>
      <c r="E26" s="5">
        <f>COUNTIF(D8:D22,"&lt;&gt;")</f>
        <v>0</v>
      </c>
      <c r="G26" s="1" t="s">
        <v>49</v>
      </c>
      <c r="H26" s="5">
        <f>IFERROR(AVERAGE(E8:E22),0)</f>
        <v>0</v>
      </c>
    </row>
    <row r="27" spans="1:10" x14ac:dyDescent="0.35">
      <c r="A27" s="1" t="s">
        <v>50</v>
      </c>
      <c r="B27" s="5">
        <f>COUNTIF(D8:D22,"Issue")</f>
        <v>0</v>
      </c>
      <c r="D27" s="1" t="s">
        <v>51</v>
      </c>
      <c r="E27" s="5">
        <f>COUNTIF(D8:D22,"Partial")</f>
        <v>0</v>
      </c>
      <c r="G27" s="1" t="s">
        <v>52</v>
      </c>
      <c r="H27" s="5">
        <f>COUNTIF(G8:G22,"&lt;&gt;")</f>
        <v>0</v>
      </c>
    </row>
  </sheetData>
  <autoFilter ref="A7:J22" xr:uid="{00000000-0009-0000-0000-000001000000}"/>
  <mergeCells count="9">
    <mergeCell ref="A25:C25"/>
    <mergeCell ref="E4:F4"/>
    <mergeCell ref="A1:J1"/>
    <mergeCell ref="B5:C5"/>
    <mergeCell ref="H5:J5"/>
    <mergeCell ref="H4:J4"/>
    <mergeCell ref="E5:F5"/>
    <mergeCell ref="A2:J2"/>
    <mergeCell ref="B4:C4"/>
  </mergeCells>
  <conditionalFormatting sqref="E8:E22">
    <cfRule type="cellIs" dxfId="2" priority="1" operator="lessThan">
      <formula>3</formula>
    </cfRule>
  </conditionalFormatting>
  <dataValidations count="1">
    <dataValidation type="list" allowBlank="1" sqref="D8 D9 D10 D11 D12 D13 D14 D15 D16 D17 D18 D19 D20 D21 D22" xr:uid="{00000000-0002-0000-0100-000000000000}">
      <formula1>"OK,Partial,Issue,N/A"</formula1>
    </dataValidation>
  </dataValidations>
  <pageMargins left="0.25" right="0.25" top="0.4" bottom="0.4" header="0.2" footer="0.2"/>
  <pageSetup fitToHeight="0" orientation="landscape"/>
  <headerFooter>
    <oddFooter>&amp;CRamachandran Marketing Department | Store Visit Checklist&amp;RPage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7"/>
  <sheetViews>
    <sheetView showGridLines="0" workbookViewId="0">
      <pane ySplit="7" topLeftCell="A14" activePane="bottomLeft" state="frozen"/>
      <selection pane="bottomLeft" activeCell="D18" sqref="D18"/>
    </sheetView>
  </sheetViews>
  <sheetFormatPr defaultRowHeight="14.5" x14ac:dyDescent="0.35"/>
  <cols>
    <col min="1" max="1" width="8" customWidth="1"/>
    <col min="2" max="2" width="20" customWidth="1"/>
    <col min="3" max="3" width="42" customWidth="1"/>
    <col min="4" max="4" width="14" customWidth="1"/>
    <col min="5" max="5" width="13" customWidth="1"/>
    <col min="6" max="7" width="30" customWidth="1"/>
    <col min="8" max="8" width="20" customWidth="1"/>
    <col min="9" max="9" width="14" customWidth="1"/>
    <col min="10" max="10" width="16" customWidth="1"/>
  </cols>
  <sheetData>
    <row r="1" spans="1:10" ht="28" customHeight="1" x14ac:dyDescent="0.35">
      <c r="A1" s="10" t="s">
        <v>79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11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5">
      <c r="A4" s="1" t="s">
        <v>2</v>
      </c>
      <c r="B4" s="9"/>
      <c r="C4" s="8"/>
      <c r="D4" s="1" t="s">
        <v>3</v>
      </c>
      <c r="E4" s="9"/>
      <c r="F4" s="8"/>
      <c r="G4" s="1" t="s">
        <v>4</v>
      </c>
      <c r="H4" s="9"/>
      <c r="I4" s="8"/>
      <c r="J4" s="8"/>
    </row>
    <row r="5" spans="1:10" x14ac:dyDescent="0.35">
      <c r="A5" s="1" t="s">
        <v>5</v>
      </c>
      <c r="B5" s="9"/>
      <c r="C5" s="8"/>
      <c r="D5" s="1" t="s">
        <v>6</v>
      </c>
      <c r="E5" s="9"/>
      <c r="F5" s="8"/>
      <c r="G5" s="1" t="s">
        <v>7</v>
      </c>
      <c r="H5" s="9"/>
      <c r="I5" s="8"/>
      <c r="J5" s="8"/>
    </row>
    <row r="7" spans="1:10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x14ac:dyDescent="0.35">
      <c r="A8" s="3">
        <v>1</v>
      </c>
      <c r="B8" s="3" t="s">
        <v>80</v>
      </c>
      <c r="C8" s="3" t="s">
        <v>81</v>
      </c>
      <c r="D8" s="3"/>
      <c r="E8" s="4"/>
      <c r="F8" s="3"/>
      <c r="G8" s="3"/>
      <c r="H8" s="3"/>
      <c r="I8" s="3"/>
      <c r="J8" s="3"/>
    </row>
    <row r="9" spans="1:10" x14ac:dyDescent="0.35">
      <c r="A9" s="3">
        <v>2</v>
      </c>
      <c r="B9" s="3" t="s">
        <v>82</v>
      </c>
      <c r="C9" s="3" t="s">
        <v>83</v>
      </c>
      <c r="D9" s="3"/>
      <c r="E9" s="4"/>
      <c r="F9" s="3"/>
      <c r="G9" s="3"/>
      <c r="H9" s="3"/>
      <c r="I9" s="3"/>
      <c r="J9" s="3"/>
    </row>
    <row r="10" spans="1:10" x14ac:dyDescent="0.35">
      <c r="A10" s="3">
        <v>3</v>
      </c>
      <c r="B10" s="3" t="s">
        <v>84</v>
      </c>
      <c r="C10" s="3" t="s">
        <v>85</v>
      </c>
      <c r="D10" s="3"/>
      <c r="E10" s="4"/>
      <c r="F10" s="3"/>
      <c r="G10" s="3"/>
      <c r="H10" s="3"/>
      <c r="I10" s="3"/>
      <c r="J10" s="3"/>
    </row>
    <row r="11" spans="1:10" x14ac:dyDescent="0.35">
      <c r="A11" s="3">
        <v>4</v>
      </c>
      <c r="B11" s="3" t="s">
        <v>86</v>
      </c>
      <c r="C11" s="3" t="s">
        <v>87</v>
      </c>
      <c r="D11" s="3"/>
      <c r="E11" s="4"/>
      <c r="F11" s="3"/>
      <c r="G11" s="3"/>
      <c r="H11" s="3"/>
      <c r="I11" s="3"/>
      <c r="J11" s="3"/>
    </row>
    <row r="12" spans="1:10" x14ac:dyDescent="0.35">
      <c r="A12" s="3">
        <v>5</v>
      </c>
      <c r="B12" s="3" t="s">
        <v>66</v>
      </c>
      <c r="C12" s="3" t="s">
        <v>88</v>
      </c>
      <c r="D12" s="3"/>
      <c r="E12" s="4"/>
      <c r="F12" s="3"/>
      <c r="G12" s="3"/>
      <c r="H12" s="3"/>
      <c r="I12" s="3"/>
      <c r="J12" s="3"/>
    </row>
    <row r="13" spans="1:10" x14ac:dyDescent="0.35">
      <c r="A13" s="3">
        <v>6</v>
      </c>
      <c r="B13" s="3" t="s">
        <v>89</v>
      </c>
      <c r="C13" s="3" t="s">
        <v>90</v>
      </c>
      <c r="D13" s="3"/>
      <c r="E13" s="4"/>
      <c r="F13" s="3"/>
      <c r="G13" s="3"/>
      <c r="H13" s="3"/>
      <c r="I13" s="3"/>
      <c r="J13" s="3"/>
    </row>
    <row r="14" spans="1:10" x14ac:dyDescent="0.35">
      <c r="A14" s="3">
        <v>7</v>
      </c>
      <c r="B14" s="3" t="s">
        <v>91</v>
      </c>
      <c r="C14" s="3" t="s">
        <v>92</v>
      </c>
      <c r="D14" s="3"/>
      <c r="E14" s="4"/>
      <c r="F14" s="3"/>
      <c r="G14" s="3"/>
      <c r="H14" s="3"/>
      <c r="I14" s="3"/>
      <c r="J14" s="3"/>
    </row>
    <row r="15" spans="1:10" x14ac:dyDescent="0.35">
      <c r="A15" s="3">
        <v>8</v>
      </c>
      <c r="B15" s="3" t="s">
        <v>93</v>
      </c>
      <c r="C15" s="3" t="s">
        <v>94</v>
      </c>
      <c r="D15" s="3"/>
      <c r="E15" s="4"/>
      <c r="F15" s="3"/>
      <c r="G15" s="3"/>
      <c r="H15" s="3"/>
      <c r="I15" s="3"/>
      <c r="J15" s="3"/>
    </row>
    <row r="16" spans="1:10" x14ac:dyDescent="0.35">
      <c r="A16" s="3">
        <v>9</v>
      </c>
      <c r="B16" s="3" t="s">
        <v>95</v>
      </c>
      <c r="C16" s="3" t="s">
        <v>96</v>
      </c>
      <c r="D16" s="3"/>
      <c r="E16" s="4"/>
      <c r="F16" s="3"/>
      <c r="G16" s="3"/>
      <c r="H16" s="3"/>
      <c r="I16" s="3"/>
      <c r="J16" s="3"/>
    </row>
    <row r="17" spans="1:10" x14ac:dyDescent="0.35">
      <c r="A17" s="3">
        <v>10</v>
      </c>
      <c r="B17" s="3" t="s">
        <v>97</v>
      </c>
      <c r="C17" s="3" t="s">
        <v>98</v>
      </c>
      <c r="D17" s="3"/>
      <c r="E17" s="4"/>
      <c r="F17" s="3"/>
      <c r="G17" s="3"/>
      <c r="H17" s="3"/>
      <c r="I17" s="3"/>
      <c r="J17" s="3"/>
    </row>
    <row r="18" spans="1:10" x14ac:dyDescent="0.35">
      <c r="A18" s="3">
        <v>11</v>
      </c>
      <c r="B18" s="3" t="s">
        <v>99</v>
      </c>
      <c r="C18" s="3" t="s">
        <v>100</v>
      </c>
      <c r="D18" s="3"/>
      <c r="E18" s="4"/>
      <c r="F18" s="3"/>
      <c r="G18" s="3"/>
      <c r="H18" s="3"/>
      <c r="I18" s="3"/>
      <c r="J18" s="3"/>
    </row>
    <row r="19" spans="1:10" x14ac:dyDescent="0.35">
      <c r="A19" s="3">
        <v>12</v>
      </c>
      <c r="B19" s="3" t="s">
        <v>101</v>
      </c>
      <c r="C19" s="3" t="s">
        <v>102</v>
      </c>
      <c r="D19" s="3"/>
      <c r="E19" s="4"/>
      <c r="F19" s="3"/>
      <c r="G19" s="3"/>
      <c r="H19" s="3"/>
      <c r="I19" s="3"/>
      <c r="J19" s="3"/>
    </row>
    <row r="20" spans="1:10" x14ac:dyDescent="0.35">
      <c r="A20" s="3">
        <v>13</v>
      </c>
      <c r="B20" s="3" t="s">
        <v>103</v>
      </c>
      <c r="C20" s="3" t="s">
        <v>104</v>
      </c>
      <c r="D20" s="3"/>
      <c r="E20" s="4"/>
      <c r="F20" s="3"/>
      <c r="G20" s="3"/>
      <c r="H20" s="3"/>
      <c r="I20" s="3"/>
      <c r="J20" s="3"/>
    </row>
    <row r="21" spans="1:10" x14ac:dyDescent="0.35">
      <c r="A21" s="3">
        <v>14</v>
      </c>
      <c r="B21" s="3" t="s">
        <v>105</v>
      </c>
      <c r="C21" s="3" t="s">
        <v>106</v>
      </c>
      <c r="D21" s="3"/>
      <c r="E21" s="4"/>
      <c r="F21" s="3"/>
      <c r="G21" s="3"/>
      <c r="H21" s="3"/>
      <c r="I21" s="3"/>
      <c r="J21" s="3"/>
    </row>
    <row r="22" spans="1:10" x14ac:dyDescent="0.35">
      <c r="A22" s="3">
        <v>15</v>
      </c>
      <c r="B22" s="3" t="s">
        <v>107</v>
      </c>
      <c r="C22" s="3" t="s">
        <v>108</v>
      </c>
      <c r="D22" s="3"/>
      <c r="E22" s="4"/>
      <c r="F22" s="3"/>
      <c r="G22" s="3"/>
      <c r="H22" s="3"/>
      <c r="I22" s="3"/>
      <c r="J22" s="3"/>
    </row>
    <row r="25" spans="1:10" x14ac:dyDescent="0.35">
      <c r="A25" s="7" t="s">
        <v>46</v>
      </c>
      <c r="B25" s="8"/>
      <c r="C25" s="8"/>
    </row>
    <row r="26" spans="1:10" x14ac:dyDescent="0.35">
      <c r="A26" s="1" t="s">
        <v>47</v>
      </c>
      <c r="B26" s="5">
        <f>COUNTA(C8:C22)</f>
        <v>15</v>
      </c>
      <c r="D26" s="1" t="s">
        <v>48</v>
      </c>
      <c r="E26" s="5">
        <f>COUNTIF(D8:D22,"&lt;&gt;")</f>
        <v>0</v>
      </c>
      <c r="G26" s="1" t="s">
        <v>49</v>
      </c>
      <c r="H26" s="5">
        <f>IFERROR(AVERAGE(E8:E22),0)</f>
        <v>0</v>
      </c>
    </row>
    <row r="27" spans="1:10" x14ac:dyDescent="0.35">
      <c r="A27" s="1" t="s">
        <v>50</v>
      </c>
      <c r="B27" s="5">
        <f>COUNTIF(D8:D22,"Issue")</f>
        <v>0</v>
      </c>
      <c r="D27" s="1" t="s">
        <v>51</v>
      </c>
      <c r="E27" s="5">
        <f>COUNTIF(D8:D22,"Partial")</f>
        <v>0</v>
      </c>
      <c r="G27" s="1" t="s">
        <v>52</v>
      </c>
      <c r="H27" s="5">
        <f>COUNTIF(G8:G22,"&lt;&gt;")</f>
        <v>0</v>
      </c>
    </row>
  </sheetData>
  <autoFilter ref="A7:J22" xr:uid="{00000000-0009-0000-0000-000002000000}"/>
  <mergeCells count="9">
    <mergeCell ref="A25:C25"/>
    <mergeCell ref="E4:F4"/>
    <mergeCell ref="A1:J1"/>
    <mergeCell ref="B5:C5"/>
    <mergeCell ref="H5:J5"/>
    <mergeCell ref="H4:J4"/>
    <mergeCell ref="E5:F5"/>
    <mergeCell ref="A2:J2"/>
    <mergeCell ref="B4:C4"/>
  </mergeCells>
  <conditionalFormatting sqref="E8:E22">
    <cfRule type="cellIs" dxfId="1" priority="1" operator="lessThan">
      <formula>3</formula>
    </cfRule>
  </conditionalFormatting>
  <dataValidations count="1">
    <dataValidation type="list" allowBlank="1" sqref="D8 D9 D10 D11 D12 D13 D14 D15 D16 D17 D18 D19 D20 D21 D22" xr:uid="{00000000-0002-0000-0200-000000000000}">
      <formula1>"OK,Partial,Issue,N/A"</formula1>
    </dataValidation>
  </dataValidations>
  <pageMargins left="0.25" right="0.25" top="0.4" bottom="0.4" header="0.2" footer="0.2"/>
  <pageSetup fitToHeight="0" orientation="landscape"/>
  <headerFooter>
    <oddFooter>&amp;CRamachandran Marketing Department | Store Visit Checklist&amp;RPage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5"/>
  <sheetViews>
    <sheetView showGridLines="0" tabSelected="1" workbookViewId="0">
      <pane ySplit="7" topLeftCell="A8" activePane="bottomLeft" state="frozen"/>
      <selection pane="bottomLeft" sqref="A1:J1"/>
    </sheetView>
  </sheetViews>
  <sheetFormatPr defaultRowHeight="14.5" x14ac:dyDescent="0.35"/>
  <cols>
    <col min="1" max="1" width="8" customWidth="1"/>
    <col min="2" max="2" width="20" customWidth="1"/>
    <col min="3" max="3" width="42" customWidth="1"/>
    <col min="4" max="4" width="14" customWidth="1"/>
    <col min="5" max="5" width="13" customWidth="1"/>
    <col min="6" max="7" width="30" customWidth="1"/>
    <col min="8" max="8" width="20" customWidth="1"/>
    <col min="9" max="9" width="14" customWidth="1"/>
    <col min="10" max="10" width="16" customWidth="1"/>
  </cols>
  <sheetData>
    <row r="1" spans="1:10" ht="28" customHeight="1" x14ac:dyDescent="0.35">
      <c r="A1" s="10" t="s">
        <v>109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11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5">
      <c r="A4" s="1" t="s">
        <v>2</v>
      </c>
      <c r="B4" s="9"/>
      <c r="C4" s="8"/>
      <c r="D4" s="1" t="s">
        <v>3</v>
      </c>
      <c r="E4" s="9"/>
      <c r="F4" s="8"/>
      <c r="G4" s="1" t="s">
        <v>4</v>
      </c>
      <c r="H4" s="9"/>
      <c r="I4" s="8"/>
      <c r="J4" s="8"/>
    </row>
    <row r="5" spans="1:10" x14ac:dyDescent="0.35">
      <c r="A5" s="1" t="s">
        <v>5</v>
      </c>
      <c r="B5" s="9"/>
      <c r="C5" s="8"/>
      <c r="D5" s="1" t="s">
        <v>6</v>
      </c>
      <c r="E5" s="9"/>
      <c r="F5" s="8"/>
      <c r="G5" s="1" t="s">
        <v>7</v>
      </c>
      <c r="H5" s="9"/>
      <c r="I5" s="8"/>
      <c r="J5" s="8"/>
    </row>
    <row r="7" spans="1:10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x14ac:dyDescent="0.35">
      <c r="A8" s="3">
        <v>1</v>
      </c>
      <c r="B8" s="3" t="s">
        <v>110</v>
      </c>
      <c r="C8" s="3" t="s">
        <v>111</v>
      </c>
      <c r="D8" s="3"/>
      <c r="E8" s="4"/>
      <c r="F8" s="3"/>
      <c r="G8" s="3"/>
      <c r="H8" s="3"/>
      <c r="I8" s="3"/>
      <c r="J8" s="3"/>
    </row>
    <row r="9" spans="1:10" x14ac:dyDescent="0.35">
      <c r="A9" s="3">
        <v>2</v>
      </c>
      <c r="B9" s="3" t="s">
        <v>112</v>
      </c>
      <c r="C9" s="3" t="s">
        <v>113</v>
      </c>
      <c r="D9" s="3"/>
      <c r="E9" s="4"/>
      <c r="F9" s="3"/>
      <c r="G9" s="3"/>
      <c r="H9" s="3"/>
      <c r="I9" s="3"/>
      <c r="J9" s="3"/>
    </row>
    <row r="10" spans="1:10" x14ac:dyDescent="0.35">
      <c r="A10" s="3">
        <v>3</v>
      </c>
      <c r="B10" s="3" t="s">
        <v>114</v>
      </c>
      <c r="C10" s="3" t="s">
        <v>115</v>
      </c>
      <c r="D10" s="3"/>
      <c r="E10" s="4"/>
      <c r="F10" s="3"/>
      <c r="G10" s="3"/>
      <c r="H10" s="3"/>
      <c r="I10" s="3"/>
      <c r="J10" s="3"/>
    </row>
    <row r="11" spans="1:10" x14ac:dyDescent="0.35">
      <c r="A11" s="3">
        <v>4</v>
      </c>
      <c r="B11" s="3" t="s">
        <v>116</v>
      </c>
      <c r="C11" s="3" t="s">
        <v>117</v>
      </c>
      <c r="D11" s="3"/>
      <c r="E11" s="4"/>
      <c r="F11" s="3"/>
      <c r="G11" s="3"/>
      <c r="H11" s="3"/>
      <c r="I11" s="3"/>
      <c r="J11" s="3"/>
    </row>
    <row r="12" spans="1:10" x14ac:dyDescent="0.35">
      <c r="A12" s="3">
        <v>5</v>
      </c>
      <c r="B12" s="3" t="s">
        <v>118</v>
      </c>
      <c r="C12" s="3" t="s">
        <v>119</v>
      </c>
      <c r="D12" s="3"/>
      <c r="E12" s="4"/>
      <c r="F12" s="3"/>
      <c r="G12" s="3"/>
      <c r="H12" s="3"/>
      <c r="I12" s="3"/>
      <c r="J12" s="3"/>
    </row>
    <row r="13" spans="1:10" x14ac:dyDescent="0.35">
      <c r="A13" s="3">
        <v>6</v>
      </c>
      <c r="B13" s="3" t="s">
        <v>120</v>
      </c>
      <c r="C13" s="3" t="s">
        <v>121</v>
      </c>
      <c r="D13" s="3"/>
      <c r="E13" s="4"/>
      <c r="F13" s="3"/>
      <c r="G13" s="3"/>
      <c r="H13" s="3"/>
      <c r="I13" s="3"/>
      <c r="J13" s="3"/>
    </row>
    <row r="14" spans="1:10" x14ac:dyDescent="0.35">
      <c r="A14" s="3">
        <v>7</v>
      </c>
      <c r="B14" s="3" t="s">
        <v>122</v>
      </c>
      <c r="C14" s="3" t="s">
        <v>123</v>
      </c>
      <c r="D14" s="3"/>
      <c r="E14" s="4"/>
      <c r="F14" s="3"/>
      <c r="G14" s="3"/>
      <c r="H14" s="3"/>
      <c r="I14" s="3"/>
      <c r="J14" s="3"/>
    </row>
    <row r="15" spans="1:10" x14ac:dyDescent="0.35">
      <c r="A15" s="3">
        <v>8</v>
      </c>
      <c r="B15" s="3" t="s">
        <v>124</v>
      </c>
      <c r="C15" s="3" t="s">
        <v>125</v>
      </c>
      <c r="D15" s="3"/>
      <c r="E15" s="4"/>
      <c r="F15" s="3"/>
      <c r="G15" s="3"/>
      <c r="H15" s="3"/>
      <c r="I15" s="3"/>
      <c r="J15" s="3"/>
    </row>
    <row r="16" spans="1:10" x14ac:dyDescent="0.35">
      <c r="A16" s="3">
        <v>9</v>
      </c>
      <c r="B16" s="3" t="s">
        <v>126</v>
      </c>
      <c r="C16" s="3" t="s">
        <v>127</v>
      </c>
      <c r="D16" s="3"/>
      <c r="E16" s="4"/>
      <c r="F16" s="3"/>
      <c r="G16" s="3"/>
      <c r="H16" s="3"/>
      <c r="I16" s="3"/>
      <c r="J16" s="3"/>
    </row>
    <row r="17" spans="1:10" x14ac:dyDescent="0.35">
      <c r="A17" s="3">
        <v>10</v>
      </c>
      <c r="B17" s="3" t="s">
        <v>128</v>
      </c>
      <c r="C17" s="3" t="s">
        <v>129</v>
      </c>
      <c r="D17" s="3"/>
      <c r="E17" s="4"/>
      <c r="F17" s="3"/>
      <c r="G17" s="3"/>
      <c r="H17" s="3"/>
      <c r="I17" s="3"/>
      <c r="J17" s="3"/>
    </row>
    <row r="18" spans="1:10" x14ac:dyDescent="0.35">
      <c r="A18" s="3">
        <v>11</v>
      </c>
      <c r="B18" s="3" t="s">
        <v>130</v>
      </c>
      <c r="C18" s="3" t="s">
        <v>131</v>
      </c>
      <c r="D18" s="3"/>
      <c r="E18" s="4"/>
      <c r="F18" s="3"/>
      <c r="G18" s="3"/>
      <c r="H18" s="3"/>
      <c r="I18" s="3"/>
      <c r="J18" s="3"/>
    </row>
    <row r="19" spans="1:10" x14ac:dyDescent="0.35">
      <c r="A19" s="3">
        <v>12</v>
      </c>
      <c r="B19" s="3" t="s">
        <v>132</v>
      </c>
      <c r="C19" s="3" t="s">
        <v>133</v>
      </c>
      <c r="D19" s="3"/>
      <c r="E19" s="4"/>
      <c r="F19" s="3"/>
      <c r="G19" s="3"/>
      <c r="H19" s="3"/>
      <c r="I19" s="3"/>
      <c r="J19" s="3"/>
    </row>
    <row r="20" spans="1:10" x14ac:dyDescent="0.35">
      <c r="A20" s="3">
        <v>13</v>
      </c>
      <c r="B20" s="3" t="s">
        <v>134</v>
      </c>
      <c r="C20" s="3" t="s">
        <v>135</v>
      </c>
      <c r="D20" s="3"/>
      <c r="E20" s="4"/>
      <c r="F20" s="3"/>
      <c r="G20" s="3"/>
      <c r="H20" s="3"/>
      <c r="I20" s="3"/>
      <c r="J20" s="3"/>
    </row>
    <row r="21" spans="1:10" x14ac:dyDescent="0.35">
      <c r="A21" s="3">
        <v>14</v>
      </c>
      <c r="B21" s="3" t="s">
        <v>136</v>
      </c>
      <c r="C21" s="3" t="s">
        <v>137</v>
      </c>
      <c r="D21" s="3"/>
      <c r="E21" s="4"/>
      <c r="F21" s="3"/>
      <c r="G21" s="3"/>
      <c r="H21" s="3"/>
      <c r="I21" s="3"/>
      <c r="J21" s="3"/>
    </row>
    <row r="22" spans="1:10" x14ac:dyDescent="0.35">
      <c r="A22" s="3">
        <v>15</v>
      </c>
      <c r="B22" s="3" t="s">
        <v>138</v>
      </c>
      <c r="C22" s="3" t="s">
        <v>139</v>
      </c>
      <c r="D22" s="3"/>
      <c r="E22" s="4"/>
      <c r="F22" s="3"/>
      <c r="G22" s="3"/>
      <c r="H22" s="3"/>
      <c r="I22" s="3"/>
      <c r="J22" s="3"/>
    </row>
    <row r="23" spans="1:10" x14ac:dyDescent="0.35">
      <c r="A23" s="3">
        <v>16</v>
      </c>
      <c r="B23" s="3" t="s">
        <v>140</v>
      </c>
      <c r="C23" s="3" t="s">
        <v>141</v>
      </c>
      <c r="D23" s="3"/>
      <c r="E23" s="4"/>
      <c r="F23" s="3"/>
      <c r="G23" s="3"/>
      <c r="H23" s="3"/>
      <c r="I23" s="3"/>
      <c r="J23" s="3"/>
    </row>
    <row r="24" spans="1:10" x14ac:dyDescent="0.35">
      <c r="A24" s="3">
        <v>17</v>
      </c>
      <c r="B24" s="3" t="s">
        <v>142</v>
      </c>
      <c r="C24" s="3" t="s">
        <v>143</v>
      </c>
      <c r="D24" s="3"/>
      <c r="E24" s="4"/>
      <c r="F24" s="3"/>
      <c r="G24" s="3"/>
      <c r="H24" s="3"/>
      <c r="I24" s="3"/>
      <c r="J24" s="3"/>
    </row>
    <row r="25" spans="1:10" x14ac:dyDescent="0.35">
      <c r="A25" s="3">
        <v>18</v>
      </c>
      <c r="B25" s="3" t="s">
        <v>144</v>
      </c>
      <c r="C25" s="3" t="s">
        <v>145</v>
      </c>
      <c r="D25" s="3"/>
      <c r="E25" s="4"/>
      <c r="F25" s="3"/>
      <c r="G25" s="3"/>
      <c r="H25" s="3"/>
      <c r="I25" s="3"/>
      <c r="J25" s="3"/>
    </row>
    <row r="26" spans="1:10" x14ac:dyDescent="0.35">
      <c r="A26" s="3">
        <v>19</v>
      </c>
      <c r="B26" s="3" t="s">
        <v>33</v>
      </c>
      <c r="C26" s="3" t="s">
        <v>146</v>
      </c>
      <c r="D26" s="3"/>
      <c r="E26" s="4"/>
      <c r="F26" s="3"/>
      <c r="G26" s="3"/>
      <c r="H26" s="3"/>
      <c r="I26" s="3"/>
      <c r="J26" s="3"/>
    </row>
    <row r="27" spans="1:10" x14ac:dyDescent="0.35">
      <c r="A27" s="3">
        <v>20</v>
      </c>
      <c r="B27" s="3" t="s">
        <v>147</v>
      </c>
      <c r="C27" s="3" t="s">
        <v>148</v>
      </c>
      <c r="D27" s="3"/>
      <c r="E27" s="4"/>
      <c r="F27" s="3"/>
      <c r="G27" s="3"/>
      <c r="H27" s="3"/>
      <c r="I27" s="3"/>
      <c r="J27" s="3"/>
    </row>
    <row r="28" spans="1:10" x14ac:dyDescent="0.35">
      <c r="A28" s="3">
        <v>21</v>
      </c>
      <c r="B28" s="3" t="s">
        <v>93</v>
      </c>
      <c r="C28" s="3" t="s">
        <v>149</v>
      </c>
      <c r="D28" s="3"/>
      <c r="E28" s="4"/>
      <c r="F28" s="3"/>
      <c r="G28" s="3"/>
      <c r="H28" s="3"/>
      <c r="I28" s="3"/>
      <c r="J28" s="3"/>
    </row>
    <row r="29" spans="1:10" x14ac:dyDescent="0.35">
      <c r="A29" s="3">
        <v>22</v>
      </c>
      <c r="B29" s="3" t="s">
        <v>50</v>
      </c>
      <c r="C29" s="3" t="s">
        <v>150</v>
      </c>
      <c r="D29" s="3"/>
      <c r="E29" s="4"/>
      <c r="F29" s="3"/>
      <c r="G29" s="3"/>
      <c r="H29" s="3"/>
      <c r="I29" s="3"/>
      <c r="J29" s="3"/>
    </row>
    <row r="30" spans="1:10" x14ac:dyDescent="0.35">
      <c r="A30" s="3">
        <v>23</v>
      </c>
      <c r="B30" s="3" t="s">
        <v>151</v>
      </c>
      <c r="C30" s="3" t="s">
        <v>152</v>
      </c>
      <c r="D30" s="3"/>
      <c r="E30" s="4"/>
      <c r="F30" s="3"/>
      <c r="G30" s="3"/>
      <c r="H30" s="3"/>
      <c r="I30" s="3"/>
      <c r="J30" s="3"/>
    </row>
    <row r="33" spans="1:8" x14ac:dyDescent="0.35">
      <c r="A33" s="7" t="s">
        <v>46</v>
      </c>
      <c r="B33" s="8"/>
      <c r="C33" s="8"/>
    </row>
    <row r="34" spans="1:8" x14ac:dyDescent="0.35">
      <c r="A34" s="1" t="s">
        <v>47</v>
      </c>
      <c r="B34" s="5">
        <f>COUNTA(C8:C30)</f>
        <v>23</v>
      </c>
      <c r="D34" s="1" t="s">
        <v>48</v>
      </c>
      <c r="E34" s="5">
        <f>COUNTIF(D8:D30,"&lt;&gt;")</f>
        <v>0</v>
      </c>
      <c r="G34" s="1" t="s">
        <v>49</v>
      </c>
      <c r="H34" s="5">
        <f>IFERROR(AVERAGE(E8:E30),0)</f>
        <v>0</v>
      </c>
    </row>
    <row r="35" spans="1:8" x14ac:dyDescent="0.35">
      <c r="A35" s="1" t="s">
        <v>50</v>
      </c>
      <c r="B35" s="5">
        <f>COUNTIF(D8:D30,"Issue")</f>
        <v>0</v>
      </c>
      <c r="D35" s="1" t="s">
        <v>51</v>
      </c>
      <c r="E35" s="5">
        <f>COUNTIF(D8:D30,"Partial")</f>
        <v>0</v>
      </c>
      <c r="G35" s="1" t="s">
        <v>52</v>
      </c>
      <c r="H35" s="5">
        <f>COUNTIF(G8:G30,"&lt;&gt;")</f>
        <v>0</v>
      </c>
    </row>
  </sheetData>
  <autoFilter ref="A7:J30" xr:uid="{00000000-0009-0000-0000-000003000000}"/>
  <mergeCells count="9">
    <mergeCell ref="E4:F4"/>
    <mergeCell ref="A1:J1"/>
    <mergeCell ref="A33:C33"/>
    <mergeCell ref="B5:C5"/>
    <mergeCell ref="H5:J5"/>
    <mergeCell ref="H4:J4"/>
    <mergeCell ref="E5:F5"/>
    <mergeCell ref="A2:J2"/>
    <mergeCell ref="B4:C4"/>
  </mergeCells>
  <conditionalFormatting sqref="E8:E30">
    <cfRule type="cellIs" dxfId="0" priority="1" operator="lessThan">
      <formula>3</formula>
    </cfRule>
  </conditionalFormatting>
  <dataValidations count="1">
    <dataValidation type="list" allowBlank="1" sqref="D8 D9 D10 D11 D12 D13 D14 D15 D16 D17 D18 D19 D20 D21 D22 D23 D24 D25 D26 D27 D28 D29 D30" xr:uid="{00000000-0002-0000-0300-000000000000}">
      <formula1>"OK,Partial,Issue,N/A"</formula1>
    </dataValidation>
  </dataValidations>
  <pageMargins left="0.25" right="0.25" top="0.4" bottom="0.4" header="0.2" footer="0.2"/>
  <pageSetup fitToHeight="0" orientation="landscape"/>
  <headerFooter>
    <oddFooter>&amp;CRamachandran Marketing Department | Store Visit Checklist&amp;RPage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 Head</vt:lpstr>
      <vt:lpstr>Assistant Manager</vt:lpstr>
      <vt:lpstr>Marketing Coordinator</vt:lpstr>
      <vt:lpstr>Marketing 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Siraj AK</cp:lastModifiedBy>
  <dcterms:created xsi:type="dcterms:W3CDTF">2026-09-28T07:04:38Z</dcterms:created>
  <dcterms:modified xsi:type="dcterms:W3CDTF">2026-10-01T04:27:43Z</dcterms:modified>
</cp:coreProperties>
</file>